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VBA Projects\Xlsm Files\"/>
    </mc:Choice>
  </mc:AlternateContent>
  <xr:revisionPtr revIDLastSave="0" documentId="13_ncr:1_{6E7B9DE9-1418-47A8-A448-80CDDEAD852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voice" sheetId="1" r:id="rId1"/>
    <sheet name="Invoice_List" sheetId="2" r:id="rId2"/>
    <sheet name="Customers" sheetId="4" r:id="rId3"/>
    <sheet name="Items" sheetId="5" r:id="rId4"/>
  </sheets>
  <definedNames>
    <definedName name="Customer_Name">OFFSET(Customers!$A$2,1,,COUNTA(Customers!$A$2:$A$999)-1,1)</definedName>
    <definedName name="InvoiceNumber">OFFSET(Invoice_List!$A$2,1,,COUNTA(Invoice_List!$A$2:$A$9997)-1,1)</definedName>
    <definedName name="Item_Name">OFFSET(Items!$A$2,1,,COUNTA(Items!$A$2:$A$999)-1,1)</definedName>
    <definedName name="_xlnm.Print_Area" localSheetId="0">Invoice!$D$1:$H$31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8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29" i="1" l="1"/>
  <c r="H30" i="1" s="1"/>
  <c r="H31" i="1" s="1"/>
</calcChain>
</file>

<file path=xl/sharedStrings.xml><?xml version="1.0" encoding="utf-8"?>
<sst xmlns="http://schemas.openxmlformats.org/spreadsheetml/2006/main" count="87" uniqueCount="66">
  <si>
    <t>Customer List</t>
  </si>
  <si>
    <t xml:space="preserve">Customer  </t>
  </si>
  <si>
    <t>Phone</t>
  </si>
  <si>
    <t>Email</t>
  </si>
  <si>
    <t>Saini, Rohit</t>
  </si>
  <si>
    <t>Saini, Anil</t>
  </si>
  <si>
    <t>Barker, Cruz</t>
  </si>
  <si>
    <t>Mosley, Chaney</t>
  </si>
  <si>
    <t>Mayer, Sara</t>
  </si>
  <si>
    <t>Rush, Zeph</t>
  </si>
  <si>
    <t>Gerner, Hashim</t>
  </si>
  <si>
    <t>Byers, Roth</t>
  </si>
  <si>
    <t>11 Shaa Road, Acton London, W3 7Ln</t>
  </si>
  <si>
    <t>rohit.saini199827@gmail.com</t>
  </si>
  <si>
    <t>RZ D1/66, New Delhi, 110045</t>
  </si>
  <si>
    <t>askrkumar@gmail.com</t>
  </si>
  <si>
    <t>140-150 Avenue Road, London, W3 7NU</t>
  </si>
  <si>
    <t>cruz.barker@gmail.com</t>
  </si>
  <si>
    <t>23, Perry Road, London, W3 7LN</t>
  </si>
  <si>
    <t>chaney.mosley@yahoo.com</t>
  </si>
  <si>
    <t>150, Brassie Ave, London, E13 8HL</t>
  </si>
  <si>
    <t>mayer.sara@gmail.com</t>
  </si>
  <si>
    <t>rush.zeph@gmail.com</t>
  </si>
  <si>
    <t>gerner.hashim@gmail.com</t>
  </si>
  <si>
    <t>byers.roth@gmail.com</t>
  </si>
  <si>
    <t>6595, Mauris Road</t>
  </si>
  <si>
    <t>11, Severn Point, CF10 3EX</t>
  </si>
  <si>
    <t>145, Acton Central, W3</t>
  </si>
  <si>
    <t>Item List</t>
  </si>
  <si>
    <t>Item Name</t>
  </si>
  <si>
    <t>Item Description</t>
  </si>
  <si>
    <t>Sales Price</t>
  </si>
  <si>
    <t>MALE ONLY T-SHIRT</t>
  </si>
  <si>
    <t>MALE PERFECT T</t>
  </si>
  <si>
    <t>EXACT 150 T-SHIRT</t>
  </si>
  <si>
    <t>MENS TOO CHIC T-SHIRT</t>
  </si>
  <si>
    <t>COTTON T-SHIRT</t>
  </si>
  <si>
    <t>HUNKY SUPERIOR T</t>
  </si>
  <si>
    <t>KIDS EXACT T-SHIRT</t>
  </si>
  <si>
    <t>LAIDES T-SHIRT</t>
  </si>
  <si>
    <t>INVOICE</t>
  </si>
  <si>
    <t>Customer</t>
  </si>
  <si>
    <t>Customer:</t>
  </si>
  <si>
    <t>Items</t>
  </si>
  <si>
    <t>Description</t>
  </si>
  <si>
    <t>Qty</t>
  </si>
  <si>
    <t>Total</t>
  </si>
  <si>
    <t>Price</t>
  </si>
  <si>
    <t>Item Row</t>
  </si>
  <si>
    <t>Subtotal</t>
  </si>
  <si>
    <t>Tax(10%)</t>
  </si>
  <si>
    <t>Thank you for purchase</t>
  </si>
  <si>
    <t>Invoice Date</t>
  </si>
  <si>
    <t>Cust Row</t>
  </si>
  <si>
    <t>Invoice List</t>
  </si>
  <si>
    <t>Date</t>
  </si>
  <si>
    <t>Address</t>
  </si>
  <si>
    <t>Phone No.</t>
  </si>
  <si>
    <t xml:space="preserve">Address </t>
  </si>
  <si>
    <t>Invoice No.</t>
  </si>
  <si>
    <t>Invoice saved as PDF</t>
  </si>
  <si>
    <t>Next Inv No.</t>
  </si>
  <si>
    <t>Invoice No:</t>
  </si>
  <si>
    <t>D:\Excel VBA Projects\Invoice_PDF\1 - Rush, Zeph.pdf</t>
  </si>
  <si>
    <t xml:space="preserve"> Qty</t>
  </si>
  <si>
    <t>D:\Excel VBA Projects\Invoice_PDF\2 - Rush, Zeph.pdf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</si>
</sst>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164" formatCode="&quot;£&quot;#,##0.00_);\(&quot;£&quot;#,##0.00\)"/>
    <numFmt numFmtId="165" formatCode="&quot;£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3" fillId="2" borderId="1" xfId="0" applyFont="1" applyFill="1" applyBorder="1"/>
    <xf numFmtId="0" fontId="0" fillId="0" borderId="1" xfId="0" applyBorder="1"/>
    <xf numFmtId="0" fontId="0" fillId="0" borderId="1" xfId="0" applyNumberFormat="1" applyBorder="1"/>
    <xf numFmtId="0" fontId="2" fillId="0" borderId="1" xfId="1" applyNumberFormat="1" applyBorder="1"/>
    <xf numFmtId="0" fontId="2" fillId="0" borderId="1" xfId="1" applyBorder="1"/>
    <xf numFmtId="0" fontId="3" fillId="3" borderId="1" xfId="0" applyFont="1" applyFill="1" applyBorder="1"/>
    <xf numFmtId="165" fontId="0" fillId="0" borderId="1" xfId="0" applyNumberFormat="1" applyBorder="1"/>
    <xf numFmtId="0" fontId="0" fillId="4" borderId="0" xfId="0" applyFill="1"/>
    <xf numFmtId="0" fontId="0" fillId="5" borderId="0" xfId="0" applyFill="1"/>
    <xf numFmtId="0" fontId="1" fillId="5" borderId="1" xfId="0" applyFont="1" applyFill="1" applyBorder="1"/>
    <xf numFmtId="0" fontId="1" fillId="5" borderId="3" xfId="0" applyFont="1" applyFill="1" applyBorder="1"/>
    <xf numFmtId="0" fontId="0" fillId="0" borderId="0" xfId="0" applyBorder="1"/>
    <xf numFmtId="0" fontId="0" fillId="0" borderId="8" xfId="0" applyBorder="1"/>
    <xf numFmtId="0" fontId="1" fillId="5" borderId="9" xfId="0" applyFont="1" applyFill="1" applyBorder="1"/>
    <xf numFmtId="0" fontId="1" fillId="5" borderId="10" xfId="0" applyFont="1" applyFill="1" applyBorder="1"/>
    <xf numFmtId="0" fontId="0" fillId="0" borderId="2" xfId="0" applyBorder="1"/>
    <xf numFmtId="0" fontId="1" fillId="2" borderId="1" xfId="0" applyFont="1" applyFill="1" applyBorder="1"/>
    <xf numFmtId="0" fontId="1" fillId="0" borderId="7" xfId="0" applyFont="1" applyBorder="1"/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165" fontId="0" fillId="0" borderId="8" xfId="0" applyNumberFormat="1" applyBorder="1"/>
    <xf numFmtId="165" fontId="0" fillId="0" borderId="2" xfId="0" applyNumberFormat="1" applyBorder="1"/>
    <xf numFmtId="14" fontId="0" fillId="0" borderId="8" xfId="0" applyNumberFormat="1" applyBorder="1" applyAlignment="1">
      <alignment horizontal="left"/>
    </xf>
    <xf numFmtId="0" fontId="1" fillId="0" borderId="7" xfId="0" applyFont="1" applyBorder="1" applyAlignment="1">
      <alignment horizontal="right"/>
    </xf>
    <xf numFmtId="165" fontId="0" fillId="0" borderId="8" xfId="0" applyNumberFormat="1" applyBorder="1" applyAlignment="1">
      <alignment horizontal="right"/>
    </xf>
    <xf numFmtId="0" fontId="4" fillId="0" borderId="0" xfId="0" applyFont="1" applyFill="1" applyBorder="1" applyAlignment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1" fillId="5" borderId="0" xfId="0" applyFont="1" applyFill="1" applyBorder="1"/>
    <xf numFmtId="0" fontId="5" fillId="7" borderId="1" xfId="0" applyFont="1" applyFill="1" applyBorder="1" applyAlignment="1">
      <alignment horizontal="center"/>
    </xf>
    <xf numFmtId="19" fontId="0" fillId="0" borderId="0" xfId="0" applyNumberFormat="1"/>
    <xf numFmtId="0" fontId="5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7" fillId="0" borderId="4" xfId="0" applyFont="1" applyBorder="1" applyAlignment="1">
      <alignment horizontal="left" vertical="top"/>
    </xf>
    <xf numFmtId="0" fontId="7" fillId="0" borderId="5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11" xfId="0" applyFont="1" applyBorder="1" applyAlignment="1">
      <alignment horizontal="left" vertical="top"/>
    </xf>
    <xf numFmtId="0" fontId="7" fillId="0" borderId="12" xfId="0" applyFont="1" applyBorder="1" applyAlignment="1">
      <alignment horizontal="left" vertical="top"/>
    </xf>
    <xf numFmtId="0" fontId="4" fillId="2" borderId="3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1" fillId="2" borderId="1" xfId="0" applyFont="1" applyFill="1" applyBorder="1" applyAlignment="1"/>
    <xf numFmtId="0" fontId="9" fillId="0" borderId="5" xfId="0" applyFont="1" applyBorder="1" applyAlignment="1">
      <alignment horizontal="right"/>
    </xf>
    <xf numFmtId="7" fontId="0" fillId="0" borderId="0" xfId="0" applyNumberFormat="1"/>
    <xf numFmtId="0" fontId="5" fillId="6" borderId="3" xfId="0" applyFont="1" applyFill="1" applyBorder="1" applyAlignment="1">
      <alignment horizontal="center"/>
    </xf>
    <xf numFmtId="0" fontId="5" fillId="6" borderId="13" xfId="0" applyFont="1" applyFill="1" applyBorder="1" applyAlignment="1">
      <alignment horizontal="center"/>
    </xf>
    <xf numFmtId="0" fontId="5" fillId="6" borderId="14" xfId="0" applyFont="1" applyFill="1" applyBorder="1" applyAlignment="1">
      <alignment horizontal="center"/>
    </xf>
    <xf numFmtId="22" fontId="0" fillId="0" borderId="1" xfId="0" applyNumberFormat="1" applyBorder="1"/>
    <xf numFmtId="164" fontId="0" fillId="0" borderId="1" xfId="0" applyNumberFormat="1" applyBorder="1"/>
    <xf numFmtId="19" fontId="0" fillId="0" borderId="1" xfId="0" applyNumberFormat="1" applyBorder="1"/>
    <xf numFmtId="7" fontId="0" fillId="0" borderId="1" xfId="0" applyNumberForma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165" fontId="0" fillId="0" borderId="15" xfId="0" applyNumberFormat="1" applyBorder="1"/>
    <xf numFmtId="165" fontId="0" fillId="0" borderId="16" xfId="0" applyNumberFormat="1" applyBorder="1"/>
    <xf numFmtId="165" fontId="0" fillId="0" borderId="17" xfId="0" applyNumberFormat="1" applyBorder="1"/>
    <xf numFmtId="0" fontId="3" fillId="3" borderId="1" xfId="0" applyFont="1" applyFill="1" applyBorder="1" applyAlignment="1">
      <alignment horizontal="center"/>
    </xf>
    <xf numFmtId="0" fontId="10" fillId="0" borderId="6" xfId="0" quotePrefix="1" applyFont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221932</xdr:colOff>
      <xdr:row>0</xdr:row>
      <xdr:rowOff>127635</xdr:rowOff>
    </xdr:from>
    <xdr:to>
      <xdr:col>9</xdr:col>
      <xdr:colOff>461962</xdr:colOff>
      <xdr:row>0</xdr:row>
      <xdr:rowOff>357188</xdr:rowOff>
    </xdr:to>
    <xdr:grpSp>
      <xdr:nvGrpSpPr>
        <xdr:cNvPr id="8" name="SaveInvBtn">
          <a:extLst>
            <a:ext uri="{FF2B5EF4-FFF2-40B4-BE49-F238E27FC236}">
              <a16:creationId xmlns:a16="http://schemas.microsoft.com/office/drawing/2014/main" id="{2E680C9A-37F0-16A9-4D35-C03D8E118F54}"/>
            </a:ext>
          </a:extLst>
        </xdr:cNvPr>
        <xdr:cNvGrpSpPr/>
      </xdr:nvGrpSpPr>
      <xdr:grpSpPr>
        <a:xfrm>
          <a:off x="8000958" y="127635"/>
          <a:ext cx="1161056" cy="229553"/>
          <a:chOff x="6751320" y="137160"/>
          <a:chExt cx="1163955" cy="229553"/>
        </a:xfrm>
      </xdr:grpSpPr>
      <xdr:sp macro="[0]!saveAsPDF.SaveAsPDF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F19B5D6-4CF0-DFF2-853B-5D5D546D1403}"/>
              </a:ext>
            </a:extLst>
          </xdr:cNvPr>
          <xdr:cNvSpPr/>
        </xdr:nvSpPr>
        <xdr:spPr>
          <a:xfrm>
            <a:off x="6751320" y="137160"/>
            <a:ext cx="1163955" cy="229553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/>
              <a:t>Save</a:t>
            </a:r>
            <a:r>
              <a:rPr lang="en-GB" sz="1100" baseline="0"/>
              <a:t> as PDF</a:t>
            </a:r>
            <a:endParaRPr lang="en-GB" sz="1100"/>
          </a:p>
        </xdr:txBody>
      </xdr:sp>
      <xdr:pic>
        <xdr:nvPicPr>
          <xdr:cNvPr id="4" name="Graphic 3" descr="Disk with solid fill">
            <a:extLst>
              <a:ext uri="{FF2B5EF4-FFF2-40B4-BE49-F238E27FC236}">
                <a16:creationId xmlns:a16="http://schemas.microsoft.com/office/drawing/2014/main" id="{99804841-A512-5EE8-E5C1-203C877626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58000" y="159067"/>
            <a:ext cx="200025" cy="20063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226695</xdr:colOff>
      <xdr:row>1</xdr:row>
      <xdr:rowOff>141922</xdr:rowOff>
    </xdr:from>
    <xdr:to>
      <xdr:col>9</xdr:col>
      <xdr:colOff>466725</xdr:colOff>
      <xdr:row>3</xdr:row>
      <xdr:rowOff>9525</xdr:rowOff>
    </xdr:to>
    <xdr:grpSp>
      <xdr:nvGrpSpPr>
        <xdr:cNvPr id="20" name="AddNewBtn" hidden="1">
          <a:extLst>
            <a:ext uri="{FF2B5EF4-FFF2-40B4-BE49-F238E27FC236}">
              <a16:creationId xmlns:a16="http://schemas.microsoft.com/office/drawing/2014/main" id="{4C8C6561-B47C-FAF1-88A2-E927930BEBDC}"/>
            </a:ext>
          </a:extLst>
        </xdr:cNvPr>
        <xdr:cNvGrpSpPr/>
      </xdr:nvGrpSpPr>
      <xdr:grpSpPr>
        <a:xfrm>
          <a:off x="8005721" y="506357"/>
          <a:ext cx="1161056" cy="238664"/>
          <a:chOff x="6741795" y="508635"/>
          <a:chExt cx="1163955" cy="229553"/>
        </a:xfrm>
      </xdr:grpSpPr>
      <xdr:sp macro="" textlink="">
        <xdr:nvSpPr>
          <xdr:cNvPr id="12" name="Rectangle: Rounded Corners 11" hidden="1">
            <a:extLst>
              <a:ext uri="{FF2B5EF4-FFF2-40B4-BE49-F238E27FC236}">
                <a16:creationId xmlns:a16="http://schemas.microsoft.com/office/drawing/2014/main" id="{03300E6C-20D1-5E03-CF0E-50B69C72938F}"/>
              </a:ext>
            </a:extLst>
          </xdr:cNvPr>
          <xdr:cNvSpPr/>
        </xdr:nvSpPr>
        <xdr:spPr>
          <a:xfrm>
            <a:off x="6741795" y="508635"/>
            <a:ext cx="1163955" cy="229553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/>
              <a:t>Add</a:t>
            </a:r>
            <a:r>
              <a:rPr lang="en-GB" sz="1100" baseline="0"/>
              <a:t> New</a:t>
            </a:r>
            <a:endParaRPr lang="en-GB" sz="1100"/>
          </a:p>
        </xdr:txBody>
      </xdr:sp>
      <xdr:pic>
        <xdr:nvPicPr>
          <xdr:cNvPr id="10" name="Graphic 9" descr="Badge Follow with solid fill" hidden="1">
            <a:extLst>
              <a:ext uri="{FF2B5EF4-FFF2-40B4-BE49-F238E27FC236}">
                <a16:creationId xmlns:a16="http://schemas.microsoft.com/office/drawing/2014/main" id="{E0E0AFF1-D63C-FAE3-1DC4-433040B2A0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829424" y="514350"/>
            <a:ext cx="223837" cy="22383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231457</xdr:colOff>
      <xdr:row>3</xdr:row>
      <xdr:rowOff>160972</xdr:rowOff>
    </xdr:from>
    <xdr:to>
      <xdr:col>9</xdr:col>
      <xdr:colOff>471487</xdr:colOff>
      <xdr:row>5</xdr:row>
      <xdr:rowOff>25612</xdr:rowOff>
    </xdr:to>
    <xdr:grpSp>
      <xdr:nvGrpSpPr>
        <xdr:cNvPr id="19" name="PrintInvBtn">
          <a:extLst>
            <a:ext uri="{FF2B5EF4-FFF2-40B4-BE49-F238E27FC236}">
              <a16:creationId xmlns:a16="http://schemas.microsoft.com/office/drawing/2014/main" id="{7845F1BA-A044-9D21-A2A6-11C91846BC97}"/>
            </a:ext>
          </a:extLst>
        </xdr:cNvPr>
        <xdr:cNvGrpSpPr/>
      </xdr:nvGrpSpPr>
      <xdr:grpSpPr>
        <a:xfrm>
          <a:off x="8010483" y="896468"/>
          <a:ext cx="1161056" cy="235701"/>
          <a:chOff x="6746557" y="889635"/>
          <a:chExt cx="1163955" cy="229553"/>
        </a:xfrm>
      </xdr:grpSpPr>
      <xdr:sp macro="[0]!Invoice_print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4CB2964F-5231-3F33-54E0-321D48B22B43}"/>
              </a:ext>
            </a:extLst>
          </xdr:cNvPr>
          <xdr:cNvSpPr/>
        </xdr:nvSpPr>
        <xdr:spPr>
          <a:xfrm>
            <a:off x="6746557" y="889635"/>
            <a:ext cx="1163955" cy="229553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/>
              <a:t>Print Invoice</a:t>
            </a:r>
          </a:p>
        </xdr:txBody>
      </xdr:sp>
      <xdr:pic macro="[0]!Invoice_print">
        <xdr:nvPicPr>
          <xdr:cNvPr id="18" name="Graphic 17" descr="Fax with solid fill">
            <a:extLst>
              <a:ext uri="{FF2B5EF4-FFF2-40B4-BE49-F238E27FC236}">
                <a16:creationId xmlns:a16="http://schemas.microsoft.com/office/drawing/2014/main" id="{60438028-C28D-9E3C-4B98-7FB4EA98C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853238" y="919162"/>
            <a:ext cx="176212" cy="176212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228601</xdr:colOff>
      <xdr:row>1</xdr:row>
      <xdr:rowOff>137160</xdr:rowOff>
    </xdr:from>
    <xdr:to>
      <xdr:col>9</xdr:col>
      <xdr:colOff>469381</xdr:colOff>
      <xdr:row>3</xdr:row>
      <xdr:rowOff>1800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EEB1F40-EA18-E385-BD1F-115C0214846B}"/>
            </a:ext>
          </a:extLst>
        </xdr:cNvPr>
        <xdr:cNvGrpSpPr/>
      </xdr:nvGrpSpPr>
      <xdr:grpSpPr>
        <a:xfrm>
          <a:off x="8007627" y="501595"/>
          <a:ext cx="1161806" cy="235701"/>
          <a:chOff x="7754816" y="477715"/>
          <a:chExt cx="1148862" cy="273881"/>
        </a:xfrm>
      </xdr:grpSpPr>
      <xdr:sp macro="[0]!emailAsPDF.emailAsPDF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D0165ACE-B605-CD7B-4D21-E72141EA4977}"/>
              </a:ext>
            </a:extLst>
          </xdr:cNvPr>
          <xdr:cNvSpPr/>
        </xdr:nvSpPr>
        <xdr:spPr>
          <a:xfrm>
            <a:off x="7754816" y="477715"/>
            <a:ext cx="1148862" cy="273881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/>
              <a:t>Email</a:t>
            </a:r>
            <a:r>
              <a:rPr lang="en-GB" sz="1100" baseline="0"/>
              <a:t> as PDF</a:t>
            </a:r>
            <a:endParaRPr lang="en-GB" sz="1100"/>
          </a:p>
        </xdr:txBody>
      </xdr:sp>
      <xdr:pic macro="[0]!emailAsPDF.emailAsPDF">
        <xdr:nvPicPr>
          <xdr:cNvPr id="5" name="Graphic 4" descr="Envelope with solid fill">
            <a:extLst>
              <a:ext uri="{FF2B5EF4-FFF2-40B4-BE49-F238E27FC236}">
                <a16:creationId xmlns:a16="http://schemas.microsoft.com/office/drawing/2014/main" id="{D8BF459C-DF86-3E0C-24CF-05397DB7E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808155" y="515815"/>
            <a:ext cx="213360" cy="2110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220980</xdr:colOff>
      <xdr:row>6</xdr:row>
      <xdr:rowOff>0</xdr:rowOff>
    </xdr:from>
    <xdr:to>
      <xdr:col>9</xdr:col>
      <xdr:colOff>461760</xdr:colOff>
      <xdr:row>7</xdr:row>
      <xdr:rowOff>47520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C612386-24BB-A89D-34FB-B7F155318FEA}"/>
            </a:ext>
          </a:extLst>
        </xdr:cNvPr>
        <xdr:cNvGrpSpPr/>
      </xdr:nvGrpSpPr>
      <xdr:grpSpPr>
        <a:xfrm>
          <a:off x="8000006" y="1292087"/>
          <a:ext cx="1161806" cy="233050"/>
          <a:chOff x="7741920" y="1280160"/>
          <a:chExt cx="1162800" cy="230400"/>
        </a:xfrm>
      </xdr:grpSpPr>
      <xdr:sp macro="[0]!InvoiceList.InvoiceList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A8D0FABA-161C-5F8F-0527-32490E350E48}"/>
              </a:ext>
            </a:extLst>
          </xdr:cNvPr>
          <xdr:cNvSpPr/>
        </xdr:nvSpPr>
        <xdr:spPr>
          <a:xfrm>
            <a:off x="7741920" y="1280160"/>
            <a:ext cx="1162800" cy="2304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/>
              <a:t>Add Record</a:t>
            </a:r>
          </a:p>
        </xdr:txBody>
      </xdr:sp>
      <xdr:pic macro="[0]!InvoiceList.InvoiceList">
        <xdr:nvPicPr>
          <xdr:cNvPr id="11" name="Graphic 10" descr="Add with solid fill">
            <a:extLst>
              <a:ext uri="{FF2B5EF4-FFF2-40B4-BE49-F238E27FC236}">
                <a16:creationId xmlns:a16="http://schemas.microsoft.com/office/drawing/2014/main" id="{A4209734-CC65-452D-9C83-C7D4FD97BF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833360" y="1303020"/>
            <a:ext cx="175260" cy="17526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220980</xdr:colOff>
      <xdr:row>8</xdr:row>
      <xdr:rowOff>22860</xdr:rowOff>
    </xdr:from>
    <xdr:to>
      <xdr:col>9</xdr:col>
      <xdr:colOff>461760</xdr:colOff>
      <xdr:row>9</xdr:row>
      <xdr:rowOff>83820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AAA14E8-84EE-A3EF-DCFF-317B439F98FF}"/>
            </a:ext>
          </a:extLst>
        </xdr:cNvPr>
        <xdr:cNvGrpSpPr/>
      </xdr:nvGrpSpPr>
      <xdr:grpSpPr>
        <a:xfrm>
          <a:off x="8000006" y="1686008"/>
          <a:ext cx="1161806" cy="246490"/>
          <a:chOff x="7775666" y="1688374"/>
          <a:chExt cx="1166065" cy="246017"/>
        </a:xfrm>
      </xdr:grpSpPr>
      <xdr:sp macro="[0]!createNewInvoice.createNewInvoice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A7D02678-2C44-6612-C9BB-1ED0FB22589D}"/>
              </a:ext>
            </a:extLst>
          </xdr:cNvPr>
          <xdr:cNvSpPr/>
        </xdr:nvSpPr>
        <xdr:spPr>
          <a:xfrm>
            <a:off x="7775666" y="1688374"/>
            <a:ext cx="1166065" cy="246017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/>
              <a:t>Start New Inv</a:t>
            </a:r>
          </a:p>
        </xdr:txBody>
      </xdr:sp>
      <xdr:pic macro="[0]!createNewInvoice.createNewInvoice">
        <xdr:nvPicPr>
          <xdr:cNvPr id="17" name="Graphic 16" descr="Document with solid fill">
            <a:extLst>
              <a:ext uri="{FF2B5EF4-FFF2-40B4-BE49-F238E27FC236}">
                <a16:creationId xmlns:a16="http://schemas.microsoft.com/office/drawing/2014/main" id="{8245F140-A1E4-0E29-074D-DDB920E1BA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836626" y="1703614"/>
            <a:ext cx="213360" cy="21553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../Invoice_PDF/2%20-%20Rush,%20Zeph.pdf" TargetMode="External"/><Relationship Id="rId1" Type="http://schemas.openxmlformats.org/officeDocument/2006/relationships/hyperlink" Target="../Invoice_PDF/1%20-%20Rush,%20Zeph.pdf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byers.roth@gmail.com" TargetMode="External"/><Relationship Id="rId3" Type="http://schemas.openxmlformats.org/officeDocument/2006/relationships/hyperlink" Target="mailto:cruz.barker@gmail.com" TargetMode="External"/><Relationship Id="rId7" Type="http://schemas.openxmlformats.org/officeDocument/2006/relationships/hyperlink" Target="mailto:gerner.hashim@gmail.com" TargetMode="External"/><Relationship Id="rId2" Type="http://schemas.openxmlformats.org/officeDocument/2006/relationships/hyperlink" Target="mailto:askrkumar@gmail.com" TargetMode="External"/><Relationship Id="rId1" Type="http://schemas.openxmlformats.org/officeDocument/2006/relationships/hyperlink" Target="mailto:rohit.saini199827@gmail.com" TargetMode="External"/><Relationship Id="rId6" Type="http://schemas.openxmlformats.org/officeDocument/2006/relationships/hyperlink" Target="mailto:rush.zeph@gmail.com" TargetMode="External"/><Relationship Id="rId5" Type="http://schemas.openxmlformats.org/officeDocument/2006/relationships/hyperlink" Target="mailto:mayer.sara@gmail.com" TargetMode="External"/><Relationship Id="rId4" Type="http://schemas.openxmlformats.org/officeDocument/2006/relationships/hyperlink" Target="mailto:chaney.mosley@yahoo.com" TargetMode="External"/><Relationship Id="rId9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showGridLines="0" tabSelected="1" zoomScale="115" zoomScaleNormal="115" workbookViewId="0">
      <selection activeCell="G1" sqref="G1"/>
    </sheetView>
  </sheetViews>
  <sheetFormatPr defaultRowHeight="14.4" x14ac:dyDescent="0.3"/>
  <cols>
    <col min="1" max="1" width="13.33203125" bestFit="1" customWidth="1"/>
    <col min="4" max="4" width="21.6640625" bestFit="1" customWidth="1"/>
    <col min="5" max="5" width="31.33203125" customWidth="1"/>
    <col min="6" max="6" width="6.33203125" customWidth="1"/>
    <col min="7" max="7" width="11.44140625" customWidth="1"/>
    <col min="8" max="8" width="11.5546875" bestFit="1" customWidth="1"/>
    <col min="9" max="9" width="13.44140625" customWidth="1"/>
    <col min="10" max="10" width="9.33203125" customWidth="1"/>
  </cols>
  <sheetData>
    <row r="1" spans="1:10" ht="28.8" x14ac:dyDescent="0.55000000000000004">
      <c r="A1" s="8"/>
      <c r="B1" s="8"/>
      <c r="C1" s="9"/>
      <c r="D1" s="34" t="s">
        <v>40</v>
      </c>
      <c r="E1" s="35"/>
      <c r="F1" s="35"/>
      <c r="G1" s="46" t="s">
        <v>62</v>
      </c>
      <c r="H1" s="62">
        <v>5</v>
      </c>
      <c r="I1" s="9"/>
      <c r="J1" s="9"/>
    </row>
    <row r="2" spans="1:10" x14ac:dyDescent="0.3">
      <c r="A2" s="17" t="s">
        <v>53</v>
      </c>
      <c r="B2" s="17">
        <v>3</v>
      </c>
      <c r="C2" s="9"/>
      <c r="D2" s="18"/>
      <c r="E2" s="19"/>
      <c r="F2" s="19"/>
      <c r="G2" s="20" t="s">
        <v>52</v>
      </c>
      <c r="H2" s="23">
        <v>44688.966944444444</v>
      </c>
      <c r="I2" s="9"/>
      <c r="J2" s="9"/>
    </row>
    <row r="3" spans="1:10" x14ac:dyDescent="0.3">
      <c r="A3" s="45" t="s">
        <v>61</v>
      </c>
      <c r="B3" s="33">
        <v>6</v>
      </c>
      <c r="C3" s="9"/>
      <c r="D3" s="24" t="s">
        <v>42</v>
      </c>
      <c r="E3" s="19" t="s">
        <v>7</v>
      </c>
      <c r="F3" s="19"/>
      <c r="G3" s="19"/>
      <c r="H3" s="13"/>
      <c r="I3" s="9"/>
      <c r="J3" s="9"/>
    </row>
    <row r="4" spans="1:10" x14ac:dyDescent="0.3">
      <c r="A4" s="8"/>
      <c r="B4" s="8"/>
      <c r="C4" s="9"/>
      <c r="D4" s="24" t="s">
        <v>56</v>
      </c>
      <c r="E4" s="27" t="s">
        <v>12</v>
      </c>
      <c r="F4" s="19"/>
      <c r="G4" s="19"/>
      <c r="H4" s="13"/>
      <c r="I4" s="9"/>
      <c r="J4" s="9"/>
    </row>
    <row r="5" spans="1:10" x14ac:dyDescent="0.3">
      <c r="A5" s="8"/>
      <c r="B5" s="8"/>
      <c r="C5" s="9"/>
      <c r="D5" s="24" t="s">
        <v>57</v>
      </c>
      <c r="E5" s="28">
        <v>7587419197</v>
      </c>
      <c r="F5" s="12"/>
      <c r="G5" s="12"/>
      <c r="H5" s="13"/>
      <c r="I5" s="9"/>
      <c r="J5" s="9"/>
    </row>
    <row r="6" spans="1:10" x14ac:dyDescent="0.3">
      <c r="A6" s="8"/>
      <c r="B6" s="8"/>
      <c r="C6" s="9"/>
      <c r="D6" s="24" t="s">
        <v>3</v>
      </c>
      <c r="E6" s="12" t="s">
        <v>13</v>
      </c>
      <c r="F6" s="12"/>
      <c r="G6" s="12"/>
      <c r="H6" s="13"/>
      <c r="I6" s="9"/>
      <c r="J6" s="9"/>
    </row>
    <row r="7" spans="1:10" x14ac:dyDescent="0.3">
      <c r="A7" s="8"/>
      <c r="B7" s="8"/>
      <c r="C7" s="11" t="s">
        <v>48</v>
      </c>
      <c r="D7" s="14" t="s">
        <v>43</v>
      </c>
      <c r="E7" s="10" t="s">
        <v>44</v>
      </c>
      <c r="F7" s="10" t="s">
        <v>45</v>
      </c>
      <c r="G7" s="10" t="s">
        <v>47</v>
      </c>
      <c r="H7" s="15" t="s">
        <v>46</v>
      </c>
      <c r="I7" s="29"/>
      <c r="J7" s="9"/>
    </row>
    <row r="8" spans="1:10" x14ac:dyDescent="0.3">
      <c r="A8" s="8"/>
      <c r="B8" s="8"/>
      <c r="C8" s="9">
        <f t="shared" ref="C8:C28" ca="1" si="0">IFERROR(MATCH(D8,Item_Name,0)+2,"")</f>
        <v>5</v>
      </c>
      <c r="D8" s="55" t="s">
        <v>34</v>
      </c>
      <c r="E8" s="55" t="s">
        <v>34</v>
      </c>
      <c r="F8" s="55">
        <v>1</v>
      </c>
      <c r="G8" s="58">
        <v>14</v>
      </c>
      <c r="H8" s="21">
        <f>IF(G8&lt;&gt;"",F8*G8,"")</f>
        <v>14</v>
      </c>
      <c r="I8" s="9"/>
      <c r="J8" s="9"/>
    </row>
    <row r="9" spans="1:10" x14ac:dyDescent="0.3">
      <c r="A9" s="8"/>
      <c r="B9" s="8"/>
      <c r="C9" s="9">
        <f t="shared" ca="1" si="0"/>
        <v>6</v>
      </c>
      <c r="D9" s="56" t="s">
        <v>35</v>
      </c>
      <c r="E9" s="56" t="s">
        <v>35</v>
      </c>
      <c r="F9" s="56">
        <v>1</v>
      </c>
      <c r="G9" s="59">
        <v>11</v>
      </c>
      <c r="H9" s="25">
        <f t="shared" ref="H9:H28" si="1">IF(G9&lt;&gt;"",F9*G9,"")</f>
        <v>11</v>
      </c>
      <c r="I9" s="9"/>
      <c r="J9" s="9"/>
    </row>
    <row r="10" spans="1:10" x14ac:dyDescent="0.3">
      <c r="A10" s="8"/>
      <c r="B10" s="8"/>
      <c r="C10" s="9" t="str">
        <f t="shared" ca="1" si="0"/>
        <v/>
      </c>
      <c r="D10" s="56"/>
      <c r="E10" s="56"/>
      <c r="F10" s="56"/>
      <c r="G10" s="59"/>
      <c r="H10" s="21" t="str">
        <f t="shared" si="1"/>
        <v/>
      </c>
      <c r="I10" s="9"/>
      <c r="J10" s="9"/>
    </row>
    <row r="11" spans="1:10" x14ac:dyDescent="0.3">
      <c r="A11" s="8"/>
      <c r="B11" s="8"/>
      <c r="C11" s="9" t="str">
        <f t="shared" ca="1" si="0"/>
        <v/>
      </c>
      <c r="D11" s="56"/>
      <c r="E11" s="56"/>
      <c r="F11" s="56"/>
      <c r="G11" s="59"/>
      <c r="H11" s="21" t="str">
        <f t="shared" si="1"/>
        <v/>
      </c>
      <c r="I11" s="9"/>
      <c r="J11" s="9"/>
    </row>
    <row r="12" spans="1:10" x14ac:dyDescent="0.3">
      <c r="A12" s="8"/>
      <c r="B12" s="8"/>
      <c r="C12" s="9" t="str">
        <f t="shared" ca="1" si="0"/>
        <v/>
      </c>
      <c r="D12" s="56"/>
      <c r="E12" s="56"/>
      <c r="F12" s="56"/>
      <c r="G12" s="59"/>
      <c r="H12" s="21" t="str">
        <f t="shared" si="1"/>
        <v/>
      </c>
      <c r="I12" s="9"/>
      <c r="J12" s="9"/>
    </row>
    <row r="13" spans="1:10" x14ac:dyDescent="0.3">
      <c r="A13" s="8"/>
      <c r="B13" s="8"/>
      <c r="C13" s="9" t="str">
        <f t="shared" ca="1" si="0"/>
        <v/>
      </c>
      <c r="D13" s="56"/>
      <c r="E13" s="56"/>
      <c r="F13" s="56"/>
      <c r="G13" s="59"/>
      <c r="H13" s="21" t="str">
        <f t="shared" si="1"/>
        <v/>
      </c>
      <c r="I13" s="9"/>
      <c r="J13" s="9"/>
    </row>
    <row r="14" spans="1:10" x14ac:dyDescent="0.3">
      <c r="A14" s="8"/>
      <c r="B14" s="8"/>
      <c r="C14" s="9" t="str">
        <f t="shared" ca="1" si="0"/>
        <v/>
      </c>
      <c r="D14" s="56"/>
      <c r="E14" s="56"/>
      <c r="F14" s="56"/>
      <c r="G14" s="59"/>
      <c r="H14" s="21" t="str">
        <f t="shared" si="1"/>
        <v/>
      </c>
      <c r="I14" s="9"/>
      <c r="J14" s="9"/>
    </row>
    <row r="15" spans="1:10" x14ac:dyDescent="0.3">
      <c r="A15" s="8"/>
      <c r="B15" s="8"/>
      <c r="C15" s="9" t="str">
        <f t="shared" ca="1" si="0"/>
        <v/>
      </c>
      <c r="D15" s="56"/>
      <c r="E15" s="56"/>
      <c r="F15" s="56"/>
      <c r="G15" s="59"/>
      <c r="H15" s="21" t="str">
        <f t="shared" si="1"/>
        <v/>
      </c>
      <c r="I15" s="9"/>
      <c r="J15" s="9"/>
    </row>
    <row r="16" spans="1:10" x14ac:dyDescent="0.3">
      <c r="A16" s="8"/>
      <c r="B16" s="8"/>
      <c r="C16" s="9" t="str">
        <f t="shared" ca="1" si="0"/>
        <v/>
      </c>
      <c r="D16" s="56"/>
      <c r="E16" s="56"/>
      <c r="F16" s="56"/>
      <c r="G16" s="59"/>
      <c r="H16" s="21" t="str">
        <f t="shared" si="1"/>
        <v/>
      </c>
      <c r="I16" s="9"/>
      <c r="J16" s="9"/>
    </row>
    <row r="17" spans="1:10" x14ac:dyDescent="0.3">
      <c r="A17" s="8"/>
      <c r="B17" s="8"/>
      <c r="C17" s="9" t="str">
        <f t="shared" ca="1" si="0"/>
        <v/>
      </c>
      <c r="D17" s="56"/>
      <c r="E17" s="56"/>
      <c r="F17" s="56"/>
      <c r="G17" s="59"/>
      <c r="H17" s="21" t="str">
        <f t="shared" si="1"/>
        <v/>
      </c>
      <c r="I17" s="9"/>
      <c r="J17" s="9"/>
    </row>
    <row r="18" spans="1:10" x14ac:dyDescent="0.3">
      <c r="A18" s="8"/>
      <c r="B18" s="8"/>
      <c r="C18" s="9" t="str">
        <f t="shared" ca="1" si="0"/>
        <v/>
      </c>
      <c r="D18" s="56"/>
      <c r="E18" s="56"/>
      <c r="F18" s="56"/>
      <c r="G18" s="59"/>
      <c r="H18" s="21" t="str">
        <f t="shared" si="1"/>
        <v/>
      </c>
      <c r="I18" s="9"/>
      <c r="J18" s="9"/>
    </row>
    <row r="19" spans="1:10" x14ac:dyDescent="0.3">
      <c r="A19" s="8"/>
      <c r="B19" s="8"/>
      <c r="C19" s="9" t="str">
        <f t="shared" ca="1" si="0"/>
        <v/>
      </c>
      <c r="D19" s="56"/>
      <c r="E19" s="56"/>
      <c r="F19" s="56"/>
      <c r="G19" s="59"/>
      <c r="H19" s="21" t="str">
        <f t="shared" si="1"/>
        <v/>
      </c>
      <c r="I19" s="9"/>
      <c r="J19" s="9"/>
    </row>
    <row r="20" spans="1:10" x14ac:dyDescent="0.3">
      <c r="A20" s="8"/>
      <c r="B20" s="8"/>
      <c r="C20" s="9" t="str">
        <f t="shared" ca="1" si="0"/>
        <v/>
      </c>
      <c r="D20" s="56"/>
      <c r="E20" s="56"/>
      <c r="F20" s="56"/>
      <c r="G20" s="59"/>
      <c r="H20" s="21" t="str">
        <f t="shared" si="1"/>
        <v/>
      </c>
      <c r="I20" s="9"/>
      <c r="J20" s="9"/>
    </row>
    <row r="21" spans="1:10" x14ac:dyDescent="0.3">
      <c r="A21" s="8"/>
      <c r="B21" s="8"/>
      <c r="C21" s="9" t="str">
        <f t="shared" ca="1" si="0"/>
        <v/>
      </c>
      <c r="D21" s="56"/>
      <c r="E21" s="56"/>
      <c r="F21" s="56"/>
      <c r="G21" s="59"/>
      <c r="H21" s="21" t="str">
        <f t="shared" si="1"/>
        <v/>
      </c>
      <c r="I21" s="9"/>
      <c r="J21" s="9"/>
    </row>
    <row r="22" spans="1:10" x14ac:dyDescent="0.3">
      <c r="A22" s="8"/>
      <c r="B22" s="8"/>
      <c r="C22" s="9" t="str">
        <f t="shared" ca="1" si="0"/>
        <v/>
      </c>
      <c r="D22" s="56"/>
      <c r="E22" s="56"/>
      <c r="F22" s="56"/>
      <c r="G22" s="59"/>
      <c r="H22" s="21" t="str">
        <f t="shared" si="1"/>
        <v/>
      </c>
      <c r="I22" s="9"/>
      <c r="J22" s="9"/>
    </row>
    <row r="23" spans="1:10" x14ac:dyDescent="0.3">
      <c r="A23" s="8"/>
      <c r="B23" s="8"/>
      <c r="C23" s="9" t="str">
        <f t="shared" ca="1" si="0"/>
        <v/>
      </c>
      <c r="D23" s="56"/>
      <c r="E23" s="56"/>
      <c r="F23" s="56"/>
      <c r="G23" s="59"/>
      <c r="H23" s="21" t="str">
        <f t="shared" si="1"/>
        <v/>
      </c>
      <c r="I23" s="9"/>
      <c r="J23" s="9"/>
    </row>
    <row r="24" spans="1:10" x14ac:dyDescent="0.3">
      <c r="A24" s="8"/>
      <c r="B24" s="8"/>
      <c r="C24" s="9" t="str">
        <f t="shared" ca="1" si="0"/>
        <v/>
      </c>
      <c r="D24" s="56"/>
      <c r="E24" s="56"/>
      <c r="F24" s="56"/>
      <c r="G24" s="59"/>
      <c r="H24" s="21" t="str">
        <f t="shared" si="1"/>
        <v/>
      </c>
      <c r="I24" s="9"/>
      <c r="J24" s="9"/>
    </row>
    <row r="25" spans="1:10" x14ac:dyDescent="0.3">
      <c r="A25" s="8"/>
      <c r="B25" s="8"/>
      <c r="C25" s="9" t="str">
        <f t="shared" ca="1" si="0"/>
        <v/>
      </c>
      <c r="D25" s="56"/>
      <c r="E25" s="56"/>
      <c r="F25" s="56"/>
      <c r="G25" s="59"/>
      <c r="H25" s="21" t="str">
        <f t="shared" si="1"/>
        <v/>
      </c>
      <c r="I25" s="9"/>
      <c r="J25" s="9"/>
    </row>
    <row r="26" spans="1:10" x14ac:dyDescent="0.3">
      <c r="A26" s="8"/>
      <c r="B26" s="8"/>
      <c r="C26" s="9" t="str">
        <f t="shared" ca="1" si="0"/>
        <v/>
      </c>
      <c r="D26" s="56"/>
      <c r="E26" s="56"/>
      <c r="F26" s="56"/>
      <c r="G26" s="59"/>
      <c r="H26" s="21" t="str">
        <f t="shared" si="1"/>
        <v/>
      </c>
      <c r="I26" s="9"/>
      <c r="J26" s="9"/>
    </row>
    <row r="27" spans="1:10" x14ac:dyDescent="0.3">
      <c r="A27" s="8"/>
      <c r="B27" s="8"/>
      <c r="C27" s="9" t="str">
        <f t="shared" ca="1" si="0"/>
        <v/>
      </c>
      <c r="D27" s="56"/>
      <c r="E27" s="56"/>
      <c r="F27" s="56"/>
      <c r="G27" s="59"/>
      <c r="H27" s="21" t="str">
        <f t="shared" si="1"/>
        <v/>
      </c>
      <c r="I27" s="9"/>
      <c r="J27" s="9"/>
    </row>
    <row r="28" spans="1:10" ht="15" thickBot="1" x14ac:dyDescent="0.35">
      <c r="A28" s="8"/>
      <c r="B28" s="8"/>
      <c r="C28" s="9" t="str">
        <f t="shared" ca="1" si="0"/>
        <v/>
      </c>
      <c r="D28" s="57"/>
      <c r="E28" s="57"/>
      <c r="F28" s="57"/>
      <c r="G28" s="60"/>
      <c r="H28" s="21" t="str">
        <f t="shared" si="1"/>
        <v/>
      </c>
      <c r="I28" s="9"/>
      <c r="J28" s="9"/>
    </row>
    <row r="29" spans="1:10" ht="15" thickBot="1" x14ac:dyDescent="0.35">
      <c r="A29" s="8"/>
      <c r="B29" s="8"/>
      <c r="C29" s="9"/>
      <c r="D29" s="36" t="s">
        <v>51</v>
      </c>
      <c r="E29" s="37"/>
      <c r="F29" s="37"/>
      <c r="G29" s="16" t="s">
        <v>49</v>
      </c>
      <c r="H29" s="22">
        <f>SUM(H8:H28)</f>
        <v>25</v>
      </c>
      <c r="I29" s="9"/>
      <c r="J29" s="9"/>
    </row>
    <row r="30" spans="1:10" ht="15" thickBot="1" x14ac:dyDescent="0.35">
      <c r="A30" s="8"/>
      <c r="B30" s="8"/>
      <c r="C30" s="9"/>
      <c r="D30" s="38"/>
      <c r="E30" s="39"/>
      <c r="F30" s="39"/>
      <c r="G30" s="16" t="s">
        <v>50</v>
      </c>
      <c r="H30" s="22">
        <f>0.1*H29</f>
        <v>2.5</v>
      </c>
      <c r="I30" s="9"/>
      <c r="J30" s="9"/>
    </row>
    <row r="31" spans="1:10" ht="15" thickBot="1" x14ac:dyDescent="0.35">
      <c r="A31" s="8"/>
      <c r="B31" s="8"/>
      <c r="C31" s="9"/>
      <c r="D31" s="40"/>
      <c r="E31" s="41"/>
      <c r="F31" s="41"/>
      <c r="G31" s="16" t="s">
        <v>46</v>
      </c>
      <c r="H31" s="22">
        <f>SUM(H29:H30)</f>
        <v>27.5</v>
      </c>
      <c r="I31" s="9"/>
      <c r="J31" s="9"/>
    </row>
  </sheetData>
  <mergeCells count="2">
    <mergeCell ref="D1:F1"/>
    <mergeCell ref="D29:F31"/>
  </mergeCells>
  <dataValidations count="2">
    <dataValidation type="list" allowBlank="1" showInputMessage="1" showErrorMessage="1" sqref="E3" xr:uid="{45799CAD-FE65-4131-B0C1-03F03C5007BD}">
      <formula1>Customer_Name</formula1>
    </dataValidation>
    <dataValidation type="list" allowBlank="1" showInputMessage="1" showErrorMessage="1" sqref="D8:D28" xr:uid="{38A8E3CA-DFBF-4A55-9E9A-DC0F679657F1}">
      <formula1>Item_Name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7C7F8-A182-4C3E-85FE-67F3CBFFE07E}">
  <sheetPr codeName="Sheet2"/>
  <dimension ref="A1:E169"/>
  <sheetViews>
    <sheetView workbookViewId="0">
      <selection activeCell="E5" sqref="E5"/>
    </sheetView>
  </sheetViews>
  <sheetFormatPr defaultRowHeight="14.4" x14ac:dyDescent="0.3"/>
  <cols>
    <col min="1" max="1" width="12.88671875" bestFit="1" customWidth="1"/>
    <col min="2" max="2" width="15.6640625" bestFit="1" customWidth="1"/>
    <col min="3" max="3" width="13.88671875" bestFit="1" customWidth="1"/>
    <col min="4" max="4" width="8.33203125" customWidth="1"/>
    <col min="5" max="5" width="46.5546875" bestFit="1" customWidth="1"/>
    <col min="6" max="6" width="18" bestFit="1" customWidth="1"/>
  </cols>
  <sheetData>
    <row r="1" spans="1:5" ht="18" x14ac:dyDescent="0.35">
      <c r="A1" s="48" t="s">
        <v>54</v>
      </c>
      <c r="B1" s="49"/>
      <c r="C1" s="49"/>
      <c r="D1" s="49"/>
      <c r="E1" s="50"/>
    </row>
    <row r="2" spans="1:5" ht="18" x14ac:dyDescent="0.35">
      <c r="A2" s="32" t="s">
        <v>59</v>
      </c>
      <c r="B2" s="32" t="s">
        <v>55</v>
      </c>
      <c r="C2" s="32" t="s">
        <v>41</v>
      </c>
      <c r="D2" s="32" t="s">
        <v>46</v>
      </c>
      <c r="E2" s="30" t="s">
        <v>60</v>
      </c>
    </row>
    <row r="3" spans="1:5" x14ac:dyDescent="0.3">
      <c r="A3" s="2">
        <v>7</v>
      </c>
      <c r="B3" s="51">
        <v>44688.966944444444</v>
      </c>
      <c r="C3" s="2" t="s">
        <v>8</v>
      </c>
      <c r="D3" s="52">
        <v>47.3</v>
      </c>
      <c r="E3" s="2"/>
    </row>
    <row r="4" spans="1:5" x14ac:dyDescent="0.3">
      <c r="A4" s="2">
        <v>1</v>
      </c>
      <c r="B4" s="51">
        <v>44688.966944444444</v>
      </c>
      <c r="C4" s="2" t="s">
        <v>9</v>
      </c>
      <c r="D4" s="52">
        <v>48.4</v>
      </c>
      <c r="E4" s="5" t="s">
        <v>63</v>
      </c>
    </row>
    <row r="5" spans="1:5" x14ac:dyDescent="0.3">
      <c r="A5" s="2">
        <v>2</v>
      </c>
      <c r="B5" s="51">
        <v>44688.966944444444</v>
      </c>
      <c r="C5" s="2" t="s">
        <v>9</v>
      </c>
      <c r="D5" s="52">
        <v>36.299999999999997</v>
      </c>
      <c r="E5" s="5" t="s">
        <v>65</v>
      </c>
    </row>
    <row r="6" spans="1:5" x14ac:dyDescent="0.3">
      <c r="A6" s="2"/>
      <c r="B6" s="53"/>
      <c r="C6" s="2"/>
      <c r="D6" s="52"/>
      <c r="E6" s="2"/>
    </row>
    <row r="7" spans="1:5" x14ac:dyDescent="0.3">
      <c r="A7" s="2"/>
      <c r="B7" s="53"/>
      <c r="C7" s="2"/>
      <c r="D7" s="52"/>
      <c r="E7" s="2"/>
    </row>
    <row r="8" spans="1:5" x14ac:dyDescent="0.3">
      <c r="A8" s="2"/>
      <c r="B8" s="53"/>
      <c r="C8" s="2"/>
      <c r="D8" s="52"/>
      <c r="E8" s="2"/>
    </row>
    <row r="9" spans="1:5" x14ac:dyDescent="0.3">
      <c r="A9" s="2"/>
      <c r="B9" s="51"/>
      <c r="C9" s="2"/>
      <c r="D9" s="54"/>
      <c r="E9" s="2"/>
    </row>
    <row r="10" spans="1:5" x14ac:dyDescent="0.3">
      <c r="A10" s="2"/>
      <c r="B10" s="51"/>
      <c r="C10" s="2"/>
      <c r="D10" s="54"/>
      <c r="E10" s="5"/>
    </row>
    <row r="11" spans="1:5" x14ac:dyDescent="0.3">
      <c r="A11" s="2"/>
      <c r="B11" s="51"/>
      <c r="C11" s="2"/>
      <c r="D11" s="54"/>
      <c r="E11" s="5"/>
    </row>
    <row r="12" spans="1:5" x14ac:dyDescent="0.3">
      <c r="A12" s="2"/>
      <c r="B12" s="51"/>
      <c r="C12" s="2"/>
      <c r="D12" s="54"/>
      <c r="E12" s="2"/>
    </row>
    <row r="13" spans="1:5" x14ac:dyDescent="0.3">
      <c r="A13" s="2"/>
      <c r="B13" s="51"/>
      <c r="C13" s="2"/>
      <c r="D13" s="54"/>
      <c r="E13" s="2"/>
    </row>
    <row r="14" spans="1:5" x14ac:dyDescent="0.3">
      <c r="A14" s="2"/>
      <c r="B14" s="51"/>
      <c r="C14" s="2"/>
      <c r="D14" s="54"/>
      <c r="E14" s="2"/>
    </row>
    <row r="15" spans="1:5" x14ac:dyDescent="0.3">
      <c r="A15" s="2"/>
      <c r="B15" s="2"/>
      <c r="C15" s="2"/>
      <c r="D15" s="2"/>
      <c r="E15" s="2"/>
    </row>
    <row r="16" spans="1:5" x14ac:dyDescent="0.3">
      <c r="A16" s="2"/>
      <c r="B16" s="2"/>
      <c r="C16" s="2"/>
      <c r="D16" s="2"/>
      <c r="E16" s="2"/>
    </row>
    <row r="17" spans="1:5" x14ac:dyDescent="0.3">
      <c r="A17" s="2"/>
      <c r="B17" s="2"/>
      <c r="C17" s="2"/>
      <c r="D17" s="2"/>
      <c r="E17" s="2"/>
    </row>
    <row r="18" spans="1:5" x14ac:dyDescent="0.3">
      <c r="A18" s="2"/>
      <c r="B18" s="2"/>
      <c r="C18" s="2"/>
      <c r="D18" s="2"/>
      <c r="E18" s="2"/>
    </row>
    <row r="19" spans="1:5" x14ac:dyDescent="0.3">
      <c r="A19" s="2"/>
      <c r="B19" s="2"/>
      <c r="C19" s="2"/>
      <c r="D19" s="2"/>
      <c r="E19" s="2"/>
    </row>
    <row r="20" spans="1:5" x14ac:dyDescent="0.3">
      <c r="A20" s="2"/>
      <c r="B20" s="2"/>
      <c r="C20" s="2"/>
      <c r="D20" s="2"/>
      <c r="E20" s="2"/>
    </row>
    <row r="21" spans="1:5" x14ac:dyDescent="0.3">
      <c r="A21" s="2"/>
      <c r="B21" s="2"/>
      <c r="C21" s="2"/>
      <c r="D21" s="2"/>
      <c r="E21" s="2"/>
    </row>
    <row r="22" spans="1:5" x14ac:dyDescent="0.3">
      <c r="A22" s="2"/>
      <c r="B22" s="2"/>
      <c r="C22" s="2"/>
      <c r="D22" s="2"/>
      <c r="E22" s="2"/>
    </row>
    <row r="23" spans="1:5" x14ac:dyDescent="0.3">
      <c r="A23" s="2"/>
      <c r="B23" s="2"/>
      <c r="C23" s="2"/>
      <c r="D23" s="2"/>
      <c r="E23" s="2"/>
    </row>
    <row r="24" spans="1:5" x14ac:dyDescent="0.3">
      <c r="A24" s="2"/>
      <c r="B24" s="2"/>
      <c r="C24" s="2"/>
      <c r="D24" s="2"/>
      <c r="E24" s="2"/>
    </row>
    <row r="25" spans="1:5" x14ac:dyDescent="0.3">
      <c r="A25" s="2"/>
      <c r="B25" s="2"/>
      <c r="C25" s="2"/>
      <c r="D25" s="2"/>
      <c r="E25" s="2"/>
    </row>
    <row r="26" spans="1:5" x14ac:dyDescent="0.3">
      <c r="A26" s="2"/>
      <c r="B26" s="2"/>
      <c r="C26" s="2"/>
      <c r="D26" s="2"/>
      <c r="E26" s="2"/>
    </row>
    <row r="27" spans="1:5" x14ac:dyDescent="0.3">
      <c r="A27" s="2"/>
      <c r="B27" s="2"/>
      <c r="C27" s="2"/>
      <c r="D27" s="2"/>
      <c r="E27" s="2"/>
    </row>
    <row r="28" spans="1:5" x14ac:dyDescent="0.3">
      <c r="A28" s="2"/>
      <c r="B28" s="2"/>
      <c r="C28" s="2"/>
      <c r="D28" s="2"/>
      <c r="E28" s="2"/>
    </row>
    <row r="29" spans="1:5" x14ac:dyDescent="0.3">
      <c r="A29" s="2"/>
      <c r="B29" s="2"/>
      <c r="C29" s="2"/>
      <c r="D29" s="2"/>
      <c r="E29" s="2"/>
    </row>
    <row r="30" spans="1:5" x14ac:dyDescent="0.3">
      <c r="A30" s="2"/>
      <c r="B30" s="2"/>
      <c r="C30" s="2"/>
      <c r="D30" s="2"/>
      <c r="E30" s="2"/>
    </row>
    <row r="31" spans="1:5" x14ac:dyDescent="0.3">
      <c r="A31" s="2"/>
      <c r="B31" s="2"/>
      <c r="C31" s="2"/>
      <c r="D31" s="2"/>
      <c r="E31" s="2"/>
    </row>
    <row r="32" spans="1:5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</sheetData>
  <mergeCells count="1">
    <mergeCell ref="A1:E1"/>
  </mergeCells>
  <hyperlinks>
    <hyperlink ref="E4" r:id="rId1" display="../Invoice_PDF/1 - Rush, Zeph.pdf" xr:uid="{5CAAFF6C-F278-4741-916B-CB87628CEB86}"/>
    <hyperlink ref="E5" r:id="rId2" display="../Invoice_PDF/2 - Rush, Zeph.pdf" xr:uid="{5D19B211-ADF7-4564-AD92-008EE4B2DB1B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C46F-2C1B-4D04-A81B-309083B92B39}">
  <sheetPr codeName="Sheet4"/>
  <dimension ref="A1:E12"/>
  <sheetViews>
    <sheetView workbookViewId="0">
      <selection activeCell="B20" sqref="B20"/>
    </sheetView>
  </sheetViews>
  <sheetFormatPr defaultRowHeight="14.4" x14ac:dyDescent="0.3"/>
  <cols>
    <col min="1" max="1" width="13.88671875" bestFit="1" customWidth="1"/>
    <col min="2" max="2" width="31.77734375" bestFit="1" customWidth="1"/>
    <col min="3" max="3" width="40.6640625" bestFit="1" customWidth="1"/>
    <col min="4" max="5" width="25.77734375" bestFit="1" customWidth="1"/>
  </cols>
  <sheetData>
    <row r="1" spans="1:5" ht="31.2" x14ac:dyDescent="0.6">
      <c r="A1" s="42" t="s">
        <v>0</v>
      </c>
      <c r="B1" s="43"/>
      <c r="C1" s="43"/>
      <c r="D1" s="43"/>
      <c r="E1" s="26"/>
    </row>
    <row r="2" spans="1:5" ht="23.4" x14ac:dyDescent="0.45">
      <c r="A2" s="1" t="s">
        <v>1</v>
      </c>
      <c r="B2" s="1" t="s">
        <v>58</v>
      </c>
      <c r="C2" s="1" t="s">
        <v>2</v>
      </c>
      <c r="D2" s="1" t="s">
        <v>3</v>
      </c>
    </row>
    <row r="3" spans="1:5" x14ac:dyDescent="0.3">
      <c r="A3" s="2" t="s">
        <v>4</v>
      </c>
      <c r="B3" s="2" t="s">
        <v>12</v>
      </c>
      <c r="C3" s="3">
        <v>7587419197</v>
      </c>
      <c r="D3" s="4" t="s">
        <v>13</v>
      </c>
    </row>
    <row r="4" spans="1:5" x14ac:dyDescent="0.3">
      <c r="A4" s="2" t="s">
        <v>5</v>
      </c>
      <c r="B4" s="2" t="s">
        <v>14</v>
      </c>
      <c r="C4" s="2">
        <v>9999115952</v>
      </c>
      <c r="D4" s="5" t="s">
        <v>15</v>
      </c>
    </row>
    <row r="5" spans="1:5" x14ac:dyDescent="0.3">
      <c r="A5" s="2" t="s">
        <v>6</v>
      </c>
      <c r="B5" s="2" t="s">
        <v>16</v>
      </c>
      <c r="C5" s="2">
        <v>8745248651</v>
      </c>
      <c r="D5" s="5" t="s">
        <v>17</v>
      </c>
    </row>
    <row r="6" spans="1:5" x14ac:dyDescent="0.3">
      <c r="A6" s="2" t="s">
        <v>7</v>
      </c>
      <c r="B6" s="2" t="s">
        <v>18</v>
      </c>
      <c r="C6" s="2">
        <v>7654287465</v>
      </c>
      <c r="D6" s="5" t="s">
        <v>19</v>
      </c>
    </row>
    <row r="7" spans="1:5" x14ac:dyDescent="0.3">
      <c r="A7" s="2" t="s">
        <v>8</v>
      </c>
      <c r="B7" s="2" t="s">
        <v>20</v>
      </c>
      <c r="C7" s="2">
        <v>7752491456</v>
      </c>
      <c r="D7" s="5" t="s">
        <v>21</v>
      </c>
    </row>
    <row r="8" spans="1:5" x14ac:dyDescent="0.3">
      <c r="A8" s="2" t="s">
        <v>9</v>
      </c>
      <c r="B8" s="2" t="s">
        <v>25</v>
      </c>
      <c r="C8" s="2">
        <v>7712498452</v>
      </c>
      <c r="D8" s="5" t="s">
        <v>22</v>
      </c>
    </row>
    <row r="9" spans="1:5" x14ac:dyDescent="0.3">
      <c r="A9" s="2" t="s">
        <v>10</v>
      </c>
      <c r="B9" s="2" t="s">
        <v>26</v>
      </c>
      <c r="C9" s="2">
        <v>7214539758</v>
      </c>
      <c r="D9" s="5" t="s">
        <v>23</v>
      </c>
    </row>
    <row r="10" spans="1:5" x14ac:dyDescent="0.3">
      <c r="A10" s="2" t="s">
        <v>11</v>
      </c>
      <c r="B10" s="2" t="s">
        <v>27</v>
      </c>
      <c r="C10" s="2">
        <v>7154861486</v>
      </c>
      <c r="D10" s="5" t="s">
        <v>24</v>
      </c>
    </row>
    <row r="11" spans="1:5" x14ac:dyDescent="0.3">
      <c r="B11" s="31"/>
      <c r="D11" s="47"/>
    </row>
    <row r="12" spans="1:5" x14ac:dyDescent="0.3">
      <c r="B12" s="31"/>
      <c r="D12" s="47"/>
    </row>
  </sheetData>
  <mergeCells count="1">
    <mergeCell ref="A1:D1"/>
  </mergeCells>
  <hyperlinks>
    <hyperlink ref="D3" r:id="rId1" xr:uid="{1B302D2F-3591-4405-A173-5B59D21D84AE}"/>
    <hyperlink ref="D4" r:id="rId2" xr:uid="{E1B8E7FE-5F1E-4972-A524-59E421C6C970}"/>
    <hyperlink ref="D5" r:id="rId3" xr:uid="{9CB48669-F36B-4932-B222-B9A3571511AC}"/>
    <hyperlink ref="D6" r:id="rId4" xr:uid="{357778FA-CCC9-4F43-9F1A-69F022C0BBCD}"/>
    <hyperlink ref="D7" r:id="rId5" xr:uid="{74F6F7F3-5D81-4281-9856-604B22F8C9D8}"/>
    <hyperlink ref="D8" r:id="rId6" xr:uid="{4D3C955A-7DDF-4FCF-B74F-1A22E8C794AE}"/>
    <hyperlink ref="D9" r:id="rId7" xr:uid="{A7253BA3-3845-4A2D-8237-A06A21354F84}"/>
    <hyperlink ref="D10" r:id="rId8" xr:uid="{85A3710E-E5EA-4D4D-A52C-CD640D95C770}"/>
  </hyperlinks>
  <pageMargins left="0.7" right="0.7" top="0.75" bottom="0.75" header="0.3" footer="0.3"/>
  <pageSetup orientation="portrait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2E22-AE40-4E0A-860B-5AB98242FB84}">
  <sheetPr codeName="Sheet5"/>
  <dimension ref="A1:D10"/>
  <sheetViews>
    <sheetView workbookViewId="0">
      <selection activeCell="B17" sqref="B17"/>
    </sheetView>
  </sheetViews>
  <sheetFormatPr defaultRowHeight="14.4" x14ac:dyDescent="0.3"/>
  <cols>
    <col min="1" max="1" width="21.6640625" bestFit="1" customWidth="1"/>
    <col min="2" max="2" width="24.44140625" bestFit="1" customWidth="1"/>
    <col min="3" max="3" width="12.77734375" bestFit="1" customWidth="1"/>
    <col min="4" max="4" width="16" bestFit="1" customWidth="1"/>
  </cols>
  <sheetData>
    <row r="1" spans="1:4" ht="33.6" x14ac:dyDescent="0.65">
      <c r="A1" s="44" t="s">
        <v>28</v>
      </c>
      <c r="B1" s="44"/>
      <c r="C1" s="44"/>
      <c r="D1" s="44"/>
    </row>
    <row r="2" spans="1:4" ht="23.4" x14ac:dyDescent="0.45">
      <c r="A2" s="6" t="s">
        <v>29</v>
      </c>
      <c r="B2" s="6" t="s">
        <v>30</v>
      </c>
      <c r="C2" s="61" t="s">
        <v>64</v>
      </c>
      <c r="D2" s="6" t="s">
        <v>31</v>
      </c>
    </row>
    <row r="3" spans="1:4" x14ac:dyDescent="0.3">
      <c r="A3" s="2" t="s">
        <v>32</v>
      </c>
      <c r="B3" s="2" t="s">
        <v>32</v>
      </c>
      <c r="C3" s="2">
        <v>1</v>
      </c>
      <c r="D3" s="7">
        <v>15</v>
      </c>
    </row>
    <row r="4" spans="1:4" x14ac:dyDescent="0.3">
      <c r="A4" s="2" t="s">
        <v>33</v>
      </c>
      <c r="B4" s="2" t="s">
        <v>33</v>
      </c>
      <c r="C4" s="2">
        <v>1</v>
      </c>
      <c r="D4" s="7">
        <v>18</v>
      </c>
    </row>
    <row r="5" spans="1:4" x14ac:dyDescent="0.3">
      <c r="A5" s="2" t="s">
        <v>34</v>
      </c>
      <c r="B5" s="2" t="s">
        <v>34</v>
      </c>
      <c r="C5" s="2">
        <v>1</v>
      </c>
      <c r="D5" s="7">
        <v>14</v>
      </c>
    </row>
    <row r="6" spans="1:4" x14ac:dyDescent="0.3">
      <c r="A6" s="2" t="s">
        <v>35</v>
      </c>
      <c r="B6" s="2" t="s">
        <v>35</v>
      </c>
      <c r="C6" s="2">
        <v>1</v>
      </c>
      <c r="D6" s="7">
        <v>11</v>
      </c>
    </row>
    <row r="7" spans="1:4" x14ac:dyDescent="0.3">
      <c r="A7" s="2" t="s">
        <v>36</v>
      </c>
      <c r="B7" s="2" t="s">
        <v>36</v>
      </c>
      <c r="C7" s="2">
        <v>1</v>
      </c>
      <c r="D7" s="7">
        <v>22</v>
      </c>
    </row>
    <row r="8" spans="1:4" x14ac:dyDescent="0.3">
      <c r="A8" s="2" t="s">
        <v>37</v>
      </c>
      <c r="B8" s="2" t="s">
        <v>37</v>
      </c>
      <c r="C8" s="2">
        <v>1</v>
      </c>
      <c r="D8" s="7">
        <v>21</v>
      </c>
    </row>
    <row r="9" spans="1:4" x14ac:dyDescent="0.3">
      <c r="A9" s="2" t="s">
        <v>38</v>
      </c>
      <c r="B9" s="2" t="s">
        <v>38</v>
      </c>
      <c r="C9" s="2">
        <v>1</v>
      </c>
      <c r="D9" s="7">
        <v>12</v>
      </c>
    </row>
    <row r="10" spans="1:4" x14ac:dyDescent="0.3">
      <c r="A10" s="2" t="s">
        <v>39</v>
      </c>
      <c r="B10" s="2" t="s">
        <v>39</v>
      </c>
      <c r="C10" s="2">
        <v>1</v>
      </c>
      <c r="D10" s="7">
        <v>25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Invoice</vt:lpstr>
      <vt:lpstr>Invoice_List</vt:lpstr>
      <vt:lpstr>Customers</vt:lpstr>
      <vt:lpstr>Items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</dc:creator>
  <cp:lastModifiedBy>rohit</cp:lastModifiedBy>
  <cp:lastPrinted>2022-05-08T13:57:12Z</cp:lastPrinted>
  <dcterms:created xsi:type="dcterms:W3CDTF">2015-06-05T18:17:20Z</dcterms:created>
  <dcterms:modified xsi:type="dcterms:W3CDTF">2022-05-08T16:27:13Z</dcterms:modified>
</cp:coreProperties>
</file>